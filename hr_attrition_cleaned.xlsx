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8900d28dd036e0/Tài liệu/Data-Analytics-Portfolio/02-HR-Attrition-Dashboard/"/>
    </mc:Choice>
  </mc:AlternateContent>
  <xr:revisionPtr revIDLastSave="36" documentId="8_{E45339D3-F7EC-4333-939E-4D2D0951EEC5}" xr6:coauthVersionLast="47" xr6:coauthVersionMax="47" xr10:uidLastSave="{BA33E9EC-2A34-4C1D-8E7E-B7846F32F170}"/>
  <bookViews>
    <workbookView xWindow="-108" yWindow="-108" windowWidth="23256" windowHeight="12456" xr2:uid="{CEECEB3B-BCFC-45B7-8AF3-8CC0CA5F26EB}"/>
  </bookViews>
  <sheets>
    <sheet name="WA_Fn-UseC_-HR-Employee-Attriti" sheetId="1" r:id="rId1"/>
    <sheet name="Department_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2" i="2"/>
  <c r="C3" i="2"/>
  <c r="C4" i="2"/>
  <c r="C2" i="2"/>
  <c r="B4" i="2"/>
  <c r="B3" i="2"/>
  <c r="B2" i="2"/>
</calcChain>
</file>

<file path=xl/sharedStrings.xml><?xml version="1.0" encoding="utf-8"?>
<sst xmlns="http://schemas.openxmlformats.org/spreadsheetml/2006/main" count="13272" uniqueCount="65">
  <si>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</si>
  <si>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</si>
  <si>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</si>
  <si>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</si>
  <si>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</si>
  <si>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</si>
  <si>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</si>
  <si>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</si>
  <si>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</si>
  <si>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</si>
  <si>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</si>
  <si>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</si>
  <si>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</si>
  <si>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</si>
  <si>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</si>
  <si>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</si>
  <si>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</si>
  <si>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</si>
  <si>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</si>
  <si>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</si>
  <si>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</si>
  <si>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</si>
  <si>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</si>
  <si>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</si>
  <si>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</si>
  <si>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</si>
  <si>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</si>
  <si>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</si>
  <si>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</si>
  <si>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</si>
  <si>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</si>
  <si>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</si>
  <si>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</si>
  <si>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</si>
  <si>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</si>
  <si>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</si>
  <si>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</si>
  <si>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</si>
  <si>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</si>
  <si>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</si>
  <si>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</si>
  <si>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</si>
  <si>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</si>
  <si>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</si>
  <si>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</si>
  <si>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</si>
  <si>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</si>
  <si>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</si>
  <si>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</si>
  <si>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</si>
  <si>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</si>
  <si>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</si>
  <si>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</si>
  <si>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</si>
  <si>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</si>
  <si>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</si>
  <si>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</si>
  <si>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</si>
  <si>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</si>
  <si>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</si>
  <si>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</si>
  <si>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</si>
  <si>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TotalEmployees</t>
  </si>
  <si>
    <t>AvgMonthlyIncome</t>
  </si>
  <si>
    <t>AttritionRate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</si>
</sst>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2FDF56-711C-461D-A905-D888275B2ABA}" name="Table1" displayName="Table1" ref="A1:AI1471" totalsRowShown="0">
  <autoFilter ref="A1:AI1471" xr:uid="{392FDF56-711C-461D-A905-D888275B2ABA}"/>
  <tableColumns count="35">
    <tableColumn id="1" xr3:uid="{2956B96A-6D17-4498-A44B-9269EE1BEB39}" name="Age"/>
    <tableColumn id="2" xr3:uid="{52D526D5-F510-48EC-A152-47FC6A72387A}" name="Attrition"/>
    <tableColumn id="3" xr3:uid="{9819DFFC-DDFF-4EC3-85B6-352E67F74D00}" name="BusinessTravel"/>
    <tableColumn id="4" xr3:uid="{28C3AE86-17BA-4439-AD7C-6332A187D459}" name="DailyRate"/>
    <tableColumn id="5" xr3:uid="{88E39592-87B4-4CB1-8E4A-B99276D41A26}" name="Department"/>
    <tableColumn id="6" xr3:uid="{AC1F05AA-A6ED-4B84-8274-A310EED13054}" name="DistanceFromHome"/>
    <tableColumn id="7" xr3:uid="{6EFC2350-0C63-4AD7-8ACE-549768E4A462}" name="Education"/>
    <tableColumn id="8" xr3:uid="{89F6133B-BCE1-4D6B-BD68-18641C16819F}" name="EducationField"/>
    <tableColumn id="9" xr3:uid="{97BC08B6-8236-46CB-83F0-224CB76A9B60}" name="EmployeeCount"/>
    <tableColumn id="10" xr3:uid="{E4E90119-06B9-4D03-89E6-7F0C3A0DB3E2}" name="EmployeeNumber"/>
    <tableColumn id="11" xr3:uid="{E90BB9AC-3CF8-4571-8DB6-AF0F4875FFB1}" name="EnvironmentSatisfaction"/>
    <tableColumn id="12" xr3:uid="{0EC62F75-3B73-4662-9C32-D66C641E5E78}" name="Gender"/>
    <tableColumn id="13" xr3:uid="{83046FEC-B3AA-4F7E-B5EC-77A2EF3A8185}" name="HourlyRate"/>
    <tableColumn id="14" xr3:uid="{6AE536CC-25C7-46FA-945D-182A2279D175}" name="JobInvolvement"/>
    <tableColumn id="15" xr3:uid="{8B920E09-D36A-4881-BF7F-AC72A4EFCAD0}" name="JobLevel"/>
    <tableColumn id="16" xr3:uid="{E11F530E-D06A-412F-9E07-92B343FD79A9}" name="JobRole"/>
    <tableColumn id="17" xr3:uid="{70D33D84-82B9-409D-80ED-A94DAA513782}" name="JobSatisfaction"/>
    <tableColumn id="18" xr3:uid="{F457EABE-249C-45B7-8212-10F053B2DB79}" name="MaritalStatus"/>
    <tableColumn id="19" xr3:uid="{AAF7A52B-60CD-4861-A2B5-81ADA3FA8D17}" name="MonthlyIncome"/>
    <tableColumn id="20" xr3:uid="{4B93C096-3DA0-4882-9C6D-9FBF6B52F201}" name="MonthlyRate"/>
    <tableColumn id="21" xr3:uid="{2776131B-E8F6-402F-8650-1625661F20D3}" name="NumCompaniesWorked"/>
    <tableColumn id="22" xr3:uid="{9ECD1167-ABA3-4A00-93AC-B6B320F46FB2}" name="Over18"/>
    <tableColumn id="23" xr3:uid="{22AEFF09-A799-422A-8BE5-9667EC4F8F55}" name="OverTime"/>
    <tableColumn id="24" xr3:uid="{EC8C07DD-D6C1-41F3-9B74-5E50562CB7AC}" name="PercentSalaryHike"/>
    <tableColumn id="25" xr3:uid="{5C2E1A8B-E7DC-47B4-88A3-7DB6EFE2F8F8}" name="PerformanceRating"/>
    <tableColumn id="26" xr3:uid="{EFDC570E-CF7F-435C-A49B-4887B8BE594D}" name="RelationshipSatisfaction"/>
    <tableColumn id="27" xr3:uid="{1BBAFB3B-EA95-43E8-9F5B-CF2E69CB8AFE}" name="StandardHours"/>
    <tableColumn id="28" xr3:uid="{7DEFD54A-80CD-46B9-96CB-955818028B19}" name="StockOptionLevel"/>
    <tableColumn id="29" xr3:uid="{B246EF60-1B3C-4D7F-AE6F-F0B45794A1FD}" name="TotalWorkingYears"/>
    <tableColumn id="30" xr3:uid="{3AB57FB6-39C8-43B4-B883-FE274578440E}" name="TrainingTimesLastYear"/>
    <tableColumn id="31" xr3:uid="{479777FE-7EDB-4829-B233-9C13A534D45F}" name="WorkLifeBalance"/>
    <tableColumn id="32" xr3:uid="{64A46EA1-45CB-467D-822E-2BEF26024178}" name="YearsAtCompany"/>
    <tableColumn id="33" xr3:uid="{D2C71BF9-D8BF-4AF4-A37F-A9CA246DE10B}" name="YearsInCurrentRole"/>
    <tableColumn id="34" xr3:uid="{78CAE4D4-C612-4184-B23B-AF7D48F2E08A}" name="YearsSinceLastPromotion"/>
    <tableColumn id="35" xr3:uid="{D2CEB3AE-ACA8-4E8A-9355-CB5AA4696254}" name="YearsWithCurrManager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E975-0121-4AB8-957B-2F1B41405832}">
  <dimension ref="A1:AI1471"/>
  <sheetViews>
    <sheetView tabSelected="1" workbookViewId="0">
      <selection activeCell="E1" sqref="E1"/>
    </sheetView>
  </sheetViews>
  <sheetFormatPr defaultRowHeight="14.4" x14ac:dyDescent="0.3"/>
  <cols>
    <col min="2" max="2" width="9.21875" customWidth="1"/>
    <col min="3" max="3" width="14.88671875" customWidth="1"/>
    <col min="4" max="4" width="10.44140625" customWidth="1"/>
    <col min="5" max="5" width="12.44140625" customWidth="1"/>
    <col min="6" max="6" width="19.109375" customWidth="1"/>
    <col min="7" max="7" width="10.88671875" customWidth="1"/>
    <col min="8" max="8" width="14.77734375" customWidth="1"/>
    <col min="9" max="9" width="15.44140625" customWidth="1"/>
    <col min="10" max="10" width="17.21875" customWidth="1"/>
    <col min="11" max="11" width="22.33203125" customWidth="1"/>
    <col min="13" max="13" width="11.77734375" customWidth="1"/>
    <col min="14" max="14" width="15.109375" customWidth="1"/>
    <col min="15" max="15" width="9.6640625" customWidth="1"/>
    <col min="16" max="16" width="9.109375" customWidth="1"/>
    <col min="17" max="17" width="15" customWidth="1"/>
    <col min="18" max="18" width="13.44140625" customWidth="1"/>
    <col min="19" max="19" width="15.109375" customWidth="1"/>
    <col min="20" max="20" width="12.77734375" customWidth="1"/>
    <col min="21" max="21" width="22.109375" customWidth="1"/>
    <col min="23" max="23" width="10.5546875" customWidth="1"/>
    <col min="24" max="24" width="17.77734375" customWidth="1"/>
    <col min="25" max="25" width="18.44140625" customWidth="1"/>
    <col min="26" max="26" width="22.21875" customWidth="1"/>
    <col min="27" max="27" width="15" customWidth="1"/>
    <col min="28" max="28" width="16.77734375" customWidth="1"/>
    <col min="29" max="29" width="17.88671875" customWidth="1"/>
    <col min="30" max="30" width="21" customWidth="1"/>
    <col min="31" max="31" width="16.5546875" customWidth="1"/>
    <col min="32" max="32" width="16.6640625" customWidth="1"/>
    <col min="33" max="33" width="18.5546875" customWidth="1"/>
    <col min="34" max="34" width="23.5546875" customWidth="1"/>
    <col min="35" max="35" width="21.664062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2F08-B0CD-4B7D-9310-D3D580C679C6}">
  <dimension ref="A1:D4"/>
  <sheetViews>
    <sheetView workbookViewId="0">
      <selection activeCell="E10" sqref="E10"/>
    </sheetView>
  </sheetViews>
  <sheetFormatPr defaultRowHeight="14.4" x14ac:dyDescent="0.3"/>
  <sheetData>
    <row r="1" spans="1:4" x14ac:dyDescent="0.3">
      <c r="A1" t="s">
        <v>4</v>
      </c>
      <c r="B1" t="s">
        <v>62</v>
      </c>
      <c r="C1" t="s">
        <v>63</v>
      </c>
      <c r="D1" t="s">
        <v>64</v>
      </c>
    </row>
    <row r="2" spans="1:4" x14ac:dyDescent="0.3">
      <c r="A2" t="s">
        <v>37</v>
      </c>
      <c r="B2">
        <f>COUNTIF(Table1[[#All],[Department]],"Sales")</f>
        <v>446</v>
      </c>
      <c r="C2">
        <f>AVERAGEIF(Table1[[#All],[Department]],"Sales",Table1[[#All],[MonthlyIncome]])</f>
        <v>6959.17264573991</v>
      </c>
      <c r="D2">
        <f>COUNTIFS(Table1[[#All],[Department]],"Sales",Table1[[#All],[Attrition]],"Yes")/Department_Table!B2</f>
        <v>0.20627802690582961</v>
      </c>
    </row>
    <row r="3" spans="1:4" x14ac:dyDescent="0.3">
      <c r="A3" t="s">
        <v>45</v>
      </c>
      <c r="B3">
        <f>COUNTIF(Table1[[#All],[Department]],"Research &amp; Development")</f>
        <v>961</v>
      </c>
      <c r="C3">
        <f>AVERAGEIF(Table1[[#All],[Department]],"Research &amp; Development",Table1[[#All],[MonthlyIncome]])</f>
        <v>6281.2528616024974</v>
      </c>
      <c r="D3">
        <f>COUNTIFS(Table1[[#All],[Department]],"Research &amp; Development",Table1[[#All],[Attrition]],"Yes")/Department_Table!B3</f>
        <v>0.13839750260145681</v>
      </c>
    </row>
    <row r="4" spans="1:4" x14ac:dyDescent="0.3">
      <c r="A4" t="s">
        <v>61</v>
      </c>
      <c r="B4">
        <f>COUNTIF(Table1[[#All],[Department]],"Human Resources")</f>
        <v>63</v>
      </c>
      <c r="C4">
        <f>AVERAGEIF(Table1[[#All],[Department]],"Human Resources",Table1[[#All],[MonthlyIncome]])</f>
        <v>6654.5079365079364</v>
      </c>
      <c r="D4">
        <f>COUNTIFS(Table1[[#All],[Department]],"Human Resources",Table1[[#All],[Attrition]],"Yes")/Department_Table!B4</f>
        <v>0.19047619047619047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WA_Fn-UseC_-HR-Employee-Attriti</vt:lpstr>
      <vt:lpstr>Department_Table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pabhi</dc:creator>
  <cp:lastModifiedBy>pabhiram2709@gmail.com</cp:lastModifiedBy>
  <dcterms:created xsi:type="dcterms:W3CDTF">2026-07-02T13:06:06Z</dcterms:created>
  <dcterms:modified xsi:type="dcterms:W3CDTF">2026-07-03T11:21:47Z</dcterms:modified>
</cp:coreProperties>
</file>